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108a7295b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 Tracker" sheetId="1" r:id="R63f57c7ef680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5">
    <x:font>
      <x:sz val="11"/>
      <x:name val="Carlito"/>
    </x:font>
    <x:font>
      <x:b/>
      <x:sz val="16"/>
      <x:color rgb="FF111827"/>
      <x:name val="Carlito"/>
    </x:font>
    <x:font>
      <x:sz val="11"/>
      <x:color rgb="FF4B5563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c8b1dab75240c7" /><Relationship Type="http://schemas.openxmlformats.org/officeDocument/2006/relationships/theme" Target="/xl/theme/theme1.xml" Id="R1abf7682529d4015" /><Relationship Type="http://schemas.openxmlformats.org/officeDocument/2006/relationships/sharedStrings" Target="/xl/sharedStrings.xml" Id="R9f0c003dd1604894" /><Relationship Type="http://schemas.openxmlformats.org/officeDocument/2006/relationships/worksheet" Target="/xl/worksheets/sheet1.xml" Id="R63f57c7ef6804e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5" hidden="0" customWidth="1"/>
    <x:col min="6" max="6" width="14" hidden="0" customWidth="1"/>
    <x:col min="7" max="7" width="16" hidden="0" customWidth="1"/>
    <x:col min="8" max="8" width="30" hidden="0" customWidth="1"/>
  </x:cols>
  <x:sheetData>
    <x:row r="1">
      <x:c r="A1" s="2" t="str">
        <x:v>Apex BioResearch - July Validation Cap Tracker</x:v>
      </x:c>
    </x:row>
    <x:row r="2">
      <x:c r="A2" s="3" t="str">
        <x:v>Cap report with customer over-cap email reference</x:v>
      </x:c>
    </x:row>
    <x:row r="4">
      <x:c r="A4" s="7" t="str">
        <x:v>Level</x:v>
      </x:c>
      <x:c r="B4" s="7" t="str">
        <x:v>Base Hours</x:v>
      </x:c>
      <x:c r="C4" s="7" t="str">
        <x:v>Base Rate</x:v>
      </x:c>
      <x:c r="D4" s="7" t="str">
        <x:v>Base Amount</x:v>
      </x:c>
      <x:c r="E4" s="7" t="str">
        <x:v>Over-Cap Hours</x:v>
      </x:c>
      <x:c r="F4" s="7" t="str">
        <x:v>Over-Cap Rate</x:v>
      </x:c>
      <x:c r="G4" s="7" t="str">
        <x:v>Over-Cap Amount</x:v>
      </x:c>
      <x:c r="H4" s="7" t="str">
        <x:v>Approval Reference</x:v>
      </x:c>
    </x:row>
    <x:row r="5">
      <x:c r="A5" s="9" t="str">
        <x:v>L1</x:v>
      </x:c>
      <x:c r="B5" s="9" t="n">
        <x:v>55</x:v>
      </x:c>
      <x:c r="C5" s="10" t="n">
        <x:v>110</x:v>
      </x:c>
      <x:c r="D5" s="10" t="n">
        <x:f>B5*C5</x:f>
        <x:v>6050</x:v>
      </x:c>
      <x:c r="E5" s="9" t="n">
        <x:v>5</x:v>
      </x:c>
      <x:c r="F5" s="10" t="n">
        <x:v>120</x:v>
      </x:c>
      <x:c r="G5" s="10" t="n">
        <x:f>E5*F5</x:f>
        <x:v>600</x:v>
      </x:c>
      <x:c r="H5" s="9" t="str">
        <x:v>CAP-APPR-2026-07-18 / Morgan Hale</x:v>
      </x:c>
    </x:row>
    <x:row r="6">
      <x:c r="A6" s="9" t="str">
        <x:v>L2</x:v>
      </x:c>
      <x:c r="B6" s="9" t="n">
        <x:v>100</x:v>
      </x:c>
      <x:c r="C6" s="10" t="n">
        <x:v>165</x:v>
      </x:c>
      <x:c r="D6" s="10" t="n">
        <x:f>B6*C6</x:f>
        <x:v>16500</x:v>
      </x:c>
      <x:c r="E6" s="9" t="n">
        <x:v>8</x:v>
      </x:c>
      <x:c r="F6" s="10" t="n">
        <x:v>175</x:v>
      </x:c>
      <x:c r="G6" s="10" t="n">
        <x:f>E6*F6</x:f>
        <x:v>1400</x:v>
      </x:c>
      <x:c r="H6" s="9" t="str">
        <x:v>CAP-APPR-2026-07-18 / Morgan Hale</x:v>
      </x:c>
    </x:row>
    <x:row r="7">
      <x:c r="A7" s="9" t="str">
        <x:v>L3</x:v>
      </x:c>
      <x:c r="B7" s="9" t="n">
        <x:v>45</x:v>
      </x:c>
      <x:c r="C7" s="10" t="n">
        <x:v>210</x:v>
      </x:c>
      <x:c r="D7" s="10" t="n">
        <x:f>B7*C7</x:f>
        <x:v>9450</x:v>
      </x:c>
      <x:c r="E7" s="9" t="n">
        <x:v>1</x:v>
      </x:c>
      <x:c r="F7" s="10" t="n">
        <x:v>225</x:v>
      </x:c>
      <x:c r="G7" s="10" t="n">
        <x:f>E7*F7</x:f>
        <x:v>225</x:v>
      </x:c>
      <x:c r="H7" s="9" t="str">
        <x:v>CAP-APPR-2026-07-18 / Morgan Hale</x:v>
      </x:c>
    </x:row>
    <x:row r="8">
      <x:c r="A8" s="9" t="str">
        <x:v>Total</x:v>
      </x:c>
      <x:c r="B8" s="9" t="n">
        <x:f>SUM(B5:B7)</x:f>
        <x:v>200</x:v>
      </x:c>
      <x:c r="C8" s="10"/>
      <x:c r="D8" s="10" t="n">
        <x:f>SUM(D5:D7)</x:f>
        <x:v>32000</x:v>
      </x:c>
      <x:c r="E8" s="9" t="n">
        <x:f>SUM(E5:E7)</x:f>
        <x:v>14</x:v>
      </x:c>
      <x:c r="F8" s="10"/>
      <x:c r="G8" s="10" t="n">
        <x:f>SUM(G5:G7)</x:f>
        <x:v>2225</x:v>
      </x:c>
      <x:c r="H8" s="9" t="str"/>
    </x:row>
    <x:row r="10">
      <x:c r="A10" s="12" t="str">
        <x:v>Monthly cap</x:v>
      </x:c>
      <x:c r="B10" s="10" t="n">
        <x:v>32000</x:v>
      </x:c>
    </x:row>
    <x:row r="11">
      <x:c r="A11" s="12" t="str">
        <x:v>Base tracker subtotal</x:v>
      </x:c>
      <x:c r="B11" s="10" t="n">
        <x:f>D8</x:f>
        <x:v>32000</x:v>
      </x:c>
    </x:row>
    <x:row r="12">
      <x:c r="A12" s="12" t="str">
        <x:v>Over-cap subtotal</x:v>
      </x:c>
      <x:c r="B12" s="10" t="n">
        <x:f>G8</x:f>
        <x:v>2225</x:v>
      </x:c>
    </x:row>
    <x:row r="13">
      <x:c r="A13" s="12" t="str">
        <x:v>Total tracker amount</x:v>
      </x:c>
      <x:c r="B13" s="10" t="n">
        <x:f>B11+B12</x:f>
        <x:v>34225</x:v>
      </x:c>
    </x:row>
    <x:row r="14">
      <x:c r="A14" s="12" t="str">
        <x:v>Email note pasted by PM</x:v>
      </x:c>
      <x:c r="B14" s="9" t="str">
        <x:v>Morgan approved extra validation support on 18-Jul.</x:v>
      </x:c>
    </x:row>
  </x:sheetData>
  <x:mergeCells>
    <x:mergeCell ref="A1:H1"/>
    <x:mergeCell ref="A2:H2"/>
  </x:mergeCells>
  <x:pageMargins left="0.7" right="0.7" top="0.75" bottom="0.75" header="0.3" footer="0.3"/>
</x:worksheet>
</file>