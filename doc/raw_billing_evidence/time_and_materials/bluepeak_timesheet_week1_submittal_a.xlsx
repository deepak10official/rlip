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86899ab69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heet" sheetId="1" r:id="R50bd07cf5c21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hh:mm"/>
    <x:numFmt numFmtId="202" formatCode="0.00"/>
    <x:numFmt numFmtId="203" formatCode="&quot;$&quot;#,##0.00"/>
  </x:numFmts>
  <x:fonts count="5">
    <x:font>
      <x:sz val="11"/>
      <x:name val="Carlito"/>
    </x:font>
    <x:font>
      <x:b/>
      <x:sz val="16"/>
      <x:color rgb="FF111827"/>
      <x:name val="Carlito"/>
    </x:font>
    <x:font>
      <x:sz val="11"/>
      <x:color rgb="FF4B5563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d9f2d557e46eb" /><Relationship Type="http://schemas.openxmlformats.org/officeDocument/2006/relationships/theme" Target="/xl/theme/theme1.xml" Id="R4d27cdbc0d3d43f5" /><Relationship Type="http://schemas.openxmlformats.org/officeDocument/2006/relationships/sharedStrings" Target="/xl/sharedStrings.xml" Id="Rdcc9d8d538d147f4" /><Relationship Type="http://schemas.openxmlformats.org/officeDocument/2006/relationships/worksheet" Target="/xl/worksheets/sheet1.xml" Id="R50bd07cf5c2149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7" hidden="0" customWidth="1"/>
    <x:col min="4" max="4" width="22" hidden="0" customWidth="1"/>
    <x:col min="5" max="5" width="9" hidden="0" customWidth="1"/>
    <x:col min="6" max="6" width="9" hidden="0" customWidth="1"/>
    <x:col min="7" max="7" width="11" hidden="0" customWidth="1"/>
    <x:col min="8" max="8" width="12" hidden="0" customWidth="1"/>
    <x:col min="9" max="9" width="16" hidden="0" customWidth="1"/>
  </x:cols>
  <x:sheetData>
    <x:row r="1">
      <x:c r="A1" s="2" t="str">
        <x:v>BluePeak Analytics - Weekly Timesheet</x:v>
      </x:c>
    </x:row>
    <x:row r="2">
      <x:c r="A2" s="3" t="str">
        <x:v>Employee: Ravi Nair | Level: L2 | Week: 01-Jul-2026 to 05-Jul-2026 | Submitted to Morgan Hale</x:v>
      </x:c>
    </x:row>
    <x:row r="4">
      <x:c r="A4" s="7" t="str">
        <x:v>Date</x:v>
      </x:c>
      <x:c r="B4" s="7" t="str">
        <x:v>Employee</x:v>
      </x:c>
      <x:c r="C4" s="7" t="str">
        <x:v>Level</x:v>
      </x:c>
      <x:c r="D4" s="7" t="str">
        <x:v>Work Order</x:v>
      </x:c>
      <x:c r="E4" s="7" t="str">
        <x:v>Start</x:v>
      </x:c>
      <x:c r="F4" s="7" t="str">
        <x:v>End</x:v>
      </x:c>
      <x:c r="G4" s="7" t="str">
        <x:v>Break Hrs</x:v>
      </x:c>
      <x:c r="H4" s="7" t="str">
        <x:v>Billable Hrs</x:v>
      </x:c>
      <x:c r="I4" s="7" t="str">
        <x:v>Approved By</x:v>
      </x:c>
    </x:row>
    <x:row r="5">
      <x:c r="A5" s="10" t="n">
        <x:v>46204</x:v>
      </x:c>
      <x:c r="B5" s="9" t="str">
        <x:v>Ravi Nair</x:v>
      </x:c>
      <x:c r="C5" s="9" t="str">
        <x:v>L2</x:v>
      </x:c>
      <x:c r="D5" s="9" t="str">
        <x:v>Pipeline remediation</x:v>
      </x:c>
      <x:c r="E5" s="11" t="n">
        <x:v>0.375</x:v>
      </x:c>
      <x:c r="F5" s="11" t="n">
        <x:v>0.75</x:v>
      </x:c>
      <x:c r="G5" s="12" t="n">
        <x:v>1</x:v>
      </x:c>
      <x:c r="H5" s="12" t="n">
        <x:f>(F5-E5)*24-G5</x:f>
        <x:v>8</x:v>
      </x:c>
      <x:c r="I5" s="9" t="str">
        <x:v>Morgan Hale</x:v>
      </x:c>
    </x:row>
    <x:row r="6">
      <x:c r="A6" s="10" t="n">
        <x:v>46205</x:v>
      </x:c>
      <x:c r="B6" s="9" t="str">
        <x:v>Ravi Nair</x:v>
      </x:c>
      <x:c r="C6" s="9" t="str">
        <x:v>L2</x:v>
      </x:c>
      <x:c r="D6" s="9" t="str">
        <x:v>Data validation</x:v>
      </x:c>
      <x:c r="E6" s="11" t="n">
        <x:v>0.3854166666666667</x:v>
      </x:c>
      <x:c r="F6" s="11" t="n">
        <x:v>0.7604166666666666</x:v>
      </x:c>
      <x:c r="G6" s="12" t="n">
        <x:v>1</x:v>
      </x:c>
      <x:c r="H6" s="12" t="n">
        <x:f>(F6-E6)*24-G6</x:f>
        <x:v>7.999999999999998</x:v>
      </x:c>
      <x:c r="I6" s="9" t="str">
        <x:v>Morgan Hale</x:v>
      </x:c>
    </x:row>
    <x:row r="7">
      <x:c r="A7" s="10" t="n">
        <x:v>46206</x:v>
      </x:c>
      <x:c r="B7" s="9" t="str">
        <x:v>Ravi Nair</x:v>
      </x:c>
      <x:c r="C7" s="9" t="str">
        <x:v>L2</x:v>
      </x:c>
      <x:c r="D7" s="9" t="str">
        <x:v>Release support</x:v>
      </x:c>
      <x:c r="E7" s="11" t="n">
        <x:v>0.3645833333333333</x:v>
      </x:c>
      <x:c r="F7" s="11" t="n">
        <x:v>0.7395833333333334</x:v>
      </x:c>
      <x:c r="G7" s="12" t="n">
        <x:v>1</x:v>
      </x:c>
      <x:c r="H7" s="12" t="n">
        <x:f>(F7-E7)*24-G7</x:f>
        <x:v>8.000000000000002</x:v>
      </x:c>
      <x:c r="I7" s="9" t="str">
        <x:v>Morgan Hale</x:v>
      </x:c>
    </x:row>
    <x:row r="8">
      <x:c r="A8" s="10" t="n">
        <x:v>46207</x:v>
      </x:c>
      <x:c r="B8" s="9" t="str">
        <x:v>Ravi Nair</x:v>
      </x:c>
      <x:c r="C8" s="9" t="str">
        <x:v>L2</x:v>
      </x:c>
      <x:c r="D8" s="9" t="str">
        <x:v>Defect retest</x:v>
      </x:c>
      <x:c r="E8" s="11" t="n">
        <x:v>0.375</x:v>
      </x:c>
      <x:c r="F8" s="11" t="n">
        <x:v>0.75</x:v>
      </x:c>
      <x:c r="G8" s="12" t="n">
        <x:v>1</x:v>
      </x:c>
      <x:c r="H8" s="12" t="n">
        <x:f>(F8-E8)*24-G8</x:f>
        <x:v>8</x:v>
      </x:c>
      <x:c r="I8" s="9" t="str">
        <x:v>Morgan Hale</x:v>
      </x:c>
    </x:row>
    <x:row r="9">
      <x:c r="A9" s="10" t="n">
        <x:v>46208</x:v>
      </x:c>
      <x:c r="B9" s="9" t="str">
        <x:v>Ravi Nair</x:v>
      </x:c>
      <x:c r="C9" s="9" t="str">
        <x:v>L2</x:v>
      </x:c>
      <x:c r="D9" s="9" t="str">
        <x:v>Runbook update</x:v>
      </x:c>
      <x:c r="E9" s="11" t="n">
        <x:v>0.3958333333333333</x:v>
      </x:c>
      <x:c r="F9" s="11" t="n">
        <x:v>0.7708333333333334</x:v>
      </x:c>
      <x:c r="G9" s="12" t="n">
        <x:v>1</x:v>
      </x:c>
      <x:c r="H9" s="12" t="n">
        <x:f>(F9-E9)*24-G9</x:f>
        <x:v>8.000000000000002</x:v>
      </x:c>
      <x:c r="I9" s="9" t="str">
        <x:v>Morgan Hale</x:v>
      </x:c>
    </x:row>
    <x:row r="10">
      <x:c r="A10" s="9" t="str">
        <x:v>Total</x:v>
      </x:c>
      <x:c r="B10" s="9" t="str"/>
      <x:c r="C10" s="9" t="str"/>
      <x:c r="D10" s="9" t="str"/>
      <x:c r="E10" s="9" t="str"/>
      <x:c r="F10" s="9" t="str"/>
      <x:c r="G10" s="12" t="str"/>
      <x:c r="H10" s="12" t="n">
        <x:f>SUM(H5:H9)</x:f>
        <x:v>40</x:v>
      </x:c>
      <x:c r="I10" s="9" t="str"/>
    </x:row>
    <x:row r="12">
      <x:c r="A12" s="17" t="str">
        <x:v>Resource rate</x:v>
      </x:c>
      <x:c r="B12" s="15" t="n">
        <x:v>145</x:v>
      </x:c>
    </x:row>
    <x:row r="13">
      <x:c r="A13" s="17" t="str">
        <x:v>Calculated amount</x:v>
      </x:c>
      <x:c r="B13" s="15" t="n">
        <x:f>H10*B12</x:f>
        <x:v>5800</x:v>
      </x:c>
    </x:row>
    <x:row r="14">
      <x:c r="A14" s="17" t="str">
        <x:v>Notes</x:v>
      </x:c>
      <x:c r="B14" s="9" t="str">
        <x:v>Submitted before weekly billing extract</x:v>
      </x:c>
    </x:row>
  </x:sheetData>
  <x:mergeCells>
    <x:mergeCell ref="A1:I1"/>
    <x:mergeCell ref="A2:I2"/>
  </x:mergeCells>
  <x:pageMargins left="0.7" right="0.7" top="0.75" bottom="0.75" header="0.3" footer="0.3"/>
</x:worksheet>
</file>